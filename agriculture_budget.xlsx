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初期投資" sheetId="2" state="visible" r:id="rId2"/>
    <sheet xmlns:r="http://schemas.openxmlformats.org/officeDocument/2006/relationships" name="運営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;(#,##0&quot;円&quot;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4A7BA6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5" borderId="1" pivotButton="0" quotePrefix="0" xfId="0"/>
    <xf numFmtId="164" fontId="4" fillId="5" borderId="1" applyAlignment="1" pivotButton="0" quotePrefix="0" xfId="0">
      <alignment horizontal="right"/>
    </xf>
    <xf numFmtId="0" fontId="0" fillId="5" borderId="1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 ht="28" customHeight="1">
      <c r="A1" s="1" t="inlineStr">
        <is>
          <t>clearAI 農業事業 費用計画</t>
        </is>
      </c>
    </row>
    <row r="3">
      <c r="A3" s="2" t="inlineStr">
        <is>
          <t>区分</t>
        </is>
      </c>
      <c r="B3" s="2" t="inlineStr">
        <is>
          <t>金額（円）</t>
        </is>
      </c>
      <c r="C3" s="2" t="inlineStr">
        <is>
          <t>備考</t>
        </is>
      </c>
    </row>
    <row r="4">
      <c r="A4" s="3" t="inlineStr">
        <is>
          <t>初期投資（機材・法人登記）</t>
        </is>
      </c>
      <c r="B4" s="4">
        <f>初期投資!B14</f>
        <v/>
      </c>
      <c r="C4" s="3" t="inlineStr">
        <is>
          <t>設備・法人登記など一時費用</t>
        </is>
      </c>
    </row>
    <row r="5">
      <c r="A5" s="3" t="inlineStr">
        <is>
          <t>年間運営費</t>
        </is>
      </c>
      <c r="B5" s="4">
        <f>運営費!B13</f>
        <v/>
      </c>
      <c r="C5" s="3" t="inlineStr">
        <is>
          <t>毎年発生する固定・変動費</t>
        </is>
      </c>
    </row>
    <row r="6">
      <c r="A6" s="5" t="inlineStr">
        <is>
          <t>初年度合計</t>
        </is>
      </c>
      <c r="B6" s="6">
        <f>B4+B5</f>
        <v/>
      </c>
      <c r="C6" s="5" t="inlineStr">
        <is>
          <t>初期投資 + 初年度運営費</t>
        </is>
      </c>
    </row>
    <row r="8">
      <c r="A8" s="7" t="inlineStr">
        <is>
          <t>※ 法人登記費用は既に支払済。参考として初期投資に計上。</t>
        </is>
      </c>
    </row>
    <row r="9">
      <c r="A9" s="7" t="inlineStr">
        <is>
          <t>※ Claude Code Max は $200/月想定（1ドル=150円換算）。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40" customWidth="1" min="4" max="4"/>
  </cols>
  <sheetData>
    <row r="1" ht="28" customHeight="1">
      <c r="A1" s="1" t="inlineStr">
        <is>
          <t>初期投資（機材・設備・法人登記）</t>
        </is>
      </c>
    </row>
    <row r="3">
      <c r="A3" s="2" t="inlineStr">
        <is>
          <t>項目</t>
        </is>
      </c>
      <c r="B3" s="2" t="inlineStr">
        <is>
          <t>金額（円）</t>
        </is>
      </c>
      <c r="C3" s="2" t="inlineStr">
        <is>
          <t>数量</t>
        </is>
      </c>
      <c r="D3" s="2" t="inlineStr">
        <is>
          <t>備考</t>
        </is>
      </c>
    </row>
    <row r="4">
      <c r="A4" s="8" t="inlineStr">
        <is>
          <t>Mac（メイン機・新規購入）</t>
        </is>
      </c>
      <c r="B4" s="9" t="n">
        <v>200000</v>
      </c>
      <c r="C4" s="10" t="n">
        <v>1</v>
      </c>
      <c r="D4" s="8" t="inlineStr">
        <is>
          <t>開発・事業メイン機</t>
        </is>
      </c>
    </row>
    <row r="5">
      <c r="A5" s="8" t="inlineStr">
        <is>
          <t>Mac（2台目・新規購入）</t>
        </is>
      </c>
      <c r="B5" s="9" t="n">
        <v>200000</v>
      </c>
      <c r="C5" s="10" t="n">
        <v>1</v>
      </c>
      <c r="D5" s="8" t="inlineStr">
        <is>
          <t>現Macはサブに回す</t>
        </is>
      </c>
    </row>
    <row r="6">
      <c r="A6" s="8" t="inlineStr">
        <is>
          <t>iPad等</t>
        </is>
      </c>
      <c r="B6" s="9" t="n">
        <v>150000</v>
      </c>
      <c r="C6" s="10" t="n">
        <v>1</v>
      </c>
      <c r="D6" s="8" t="inlineStr">
        <is>
          <t>モバイル用途</t>
        </is>
      </c>
    </row>
    <row r="7">
      <c r="A7" s="8" t="inlineStr">
        <is>
          <t>3Dプリンター</t>
        </is>
      </c>
      <c r="B7" s="9" t="n">
        <v>100000</v>
      </c>
      <c r="C7" s="10" t="n">
        <v>1</v>
      </c>
      <c r="D7" s="8" t="inlineStr">
        <is>
          <t>試作・プロトタイプ</t>
        </is>
      </c>
    </row>
    <row r="8">
      <c r="A8" s="8" t="inlineStr">
        <is>
          <t>ラズパイ2個＋モジュール</t>
        </is>
      </c>
      <c r="B8" s="9" t="n">
        <v>100000</v>
      </c>
      <c r="C8" s="10" t="n">
        <v>1</v>
      </c>
      <c r="D8" s="8" t="inlineStr">
        <is>
          <t>AI農業エッジ端末試作</t>
        </is>
      </c>
    </row>
    <row r="9">
      <c r="A9" s="8" t="inlineStr">
        <is>
          <t>その他機材系</t>
        </is>
      </c>
      <c r="B9" s="9" t="n">
        <v>200000</v>
      </c>
      <c r="C9" s="10" t="n">
        <v>1</v>
      </c>
      <c r="D9" s="8" t="inlineStr">
        <is>
          <t>センサー・ケーブル・周辺機器等</t>
        </is>
      </c>
    </row>
    <row r="10">
      <c r="A10" s="8" t="inlineStr">
        <is>
          <t>法人登記：定款認証</t>
        </is>
      </c>
      <c r="B10" s="9" t="n">
        <v>20000</v>
      </c>
      <c r="C10" s="10" t="n">
        <v>1</v>
      </c>
      <c r="D10" s="8" t="inlineStr">
        <is>
          <t>公証役場手数料</t>
        </is>
      </c>
    </row>
    <row r="11">
      <c r="A11" s="8" t="inlineStr">
        <is>
          <t>法人登記：電子定款 印紙代</t>
        </is>
      </c>
      <c r="B11" s="9" t="n">
        <v>0</v>
      </c>
      <c r="C11" s="10" t="n">
        <v>1</v>
      </c>
      <c r="D11" s="8" t="inlineStr">
        <is>
          <t>電子定款のため印紙代不要</t>
        </is>
      </c>
    </row>
    <row r="12">
      <c r="A12" s="8" t="inlineStr">
        <is>
          <t>法人登記：登録免許税</t>
        </is>
      </c>
      <c r="B12" s="9" t="n">
        <v>150000</v>
      </c>
      <c r="C12" s="10" t="n">
        <v>1</v>
      </c>
      <c r="D12" s="8" t="inlineStr">
        <is>
          <t>株式会社（合同会社なら6万円）</t>
        </is>
      </c>
    </row>
    <row r="13">
      <c r="A13" s="8" t="inlineStr">
        <is>
          <t>法人登記：諸経費</t>
        </is>
      </c>
      <c r="B13" s="9" t="n">
        <v>15000</v>
      </c>
      <c r="C13" s="10" t="n">
        <v>1</v>
      </c>
      <c r="D13" s="8" t="inlineStr">
        <is>
          <t>実印・謄本・交通費等</t>
        </is>
      </c>
    </row>
    <row r="14">
      <c r="A14" s="11" t="inlineStr">
        <is>
          <t>小計</t>
        </is>
      </c>
      <c r="B14" s="12">
        <f>SUM(B4:B13)</f>
        <v/>
      </c>
      <c r="C14" s="13" t="n"/>
      <c r="D14" s="13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0" customWidth="1" min="4" max="4"/>
    <col width="10" customWidth="1" min="5" max="5"/>
    <col width="40" customWidth="1" min="6" max="6"/>
  </cols>
  <sheetData>
    <row r="1" ht="28" customHeight="1">
      <c r="A1" s="1" t="inlineStr">
        <is>
          <t>年間運営費</t>
        </is>
      </c>
    </row>
    <row r="3">
      <c r="A3" s="2" t="inlineStr">
        <is>
          <t>項目</t>
        </is>
      </c>
      <c r="B3" s="2" t="inlineStr">
        <is>
          <t>年額（円）</t>
        </is>
      </c>
      <c r="C3" s="2" t="inlineStr">
        <is>
          <t>単価</t>
        </is>
      </c>
      <c r="D3" s="2" t="inlineStr">
        <is>
          <t>頻度/月</t>
        </is>
      </c>
      <c r="E3" s="2" t="inlineStr">
        <is>
          <t>月数</t>
        </is>
      </c>
      <c r="F3" s="2" t="inlineStr">
        <is>
          <t>備考</t>
        </is>
      </c>
    </row>
    <row r="4">
      <c r="A4" s="8" t="inlineStr">
        <is>
          <t>東京通い交通費</t>
        </is>
      </c>
      <c r="B4" s="9">
        <f>C4*D4*E4</f>
        <v/>
      </c>
      <c r="C4" s="9" t="n">
        <v>10000</v>
      </c>
      <c r="D4" s="10" t="n">
        <v>4</v>
      </c>
      <c r="E4" s="10" t="n">
        <v>12</v>
      </c>
      <c r="F4" s="8" t="inlineStr">
        <is>
          <t>新幹線/電車代</t>
        </is>
      </c>
    </row>
    <row r="5">
      <c r="A5" s="8" t="inlineStr">
        <is>
          <t>農家リサーチ訪問費</t>
        </is>
      </c>
      <c r="B5" s="9">
        <f>C5*D5*E5</f>
        <v/>
      </c>
      <c r="C5" s="9" t="n">
        <v>40000</v>
      </c>
      <c r="D5" s="10" t="n">
        <v>1</v>
      </c>
      <c r="E5" s="10" t="n">
        <v>12</v>
      </c>
      <c r="F5" s="8" t="inlineStr">
        <is>
          <t>宿・交通・食費込み（毎月1回想定）</t>
        </is>
      </c>
    </row>
    <row r="6">
      <c r="A6" s="8" t="inlineStr">
        <is>
          <t>Claude Code Max</t>
        </is>
      </c>
      <c r="B6" s="9">
        <f>C6*D6*E6</f>
        <v/>
      </c>
      <c r="C6" s="9" t="n">
        <v>30000</v>
      </c>
      <c r="D6" s="10" t="n">
        <v>1</v>
      </c>
      <c r="E6" s="10" t="n">
        <v>12</v>
      </c>
      <c r="F6" s="8" t="inlineStr">
        <is>
          <t>$200/月想定（AI開発ツール固定費）</t>
        </is>
      </c>
    </row>
    <row r="7">
      <c r="A7" s="8" t="inlineStr">
        <is>
          <t>税理士 顧問料</t>
        </is>
      </c>
      <c r="B7" s="9">
        <f>C7*D7*E7</f>
        <v/>
      </c>
      <c r="C7" s="9" t="n">
        <v>25000</v>
      </c>
      <c r="D7" s="10" t="n">
        <v>1</v>
      </c>
      <c r="E7" s="10" t="n">
        <v>12</v>
      </c>
      <c r="F7" s="8" t="inlineStr">
        <is>
          <t>月額顧問契約</t>
        </is>
      </c>
    </row>
    <row r="8">
      <c r="A8" s="8" t="inlineStr">
        <is>
          <t>税理士 決算料</t>
        </is>
      </c>
      <c r="B8" s="9">
        <f>C8*D8*E8</f>
        <v/>
      </c>
      <c r="C8" s="9" t="n">
        <v>150000</v>
      </c>
      <c r="D8" s="10" t="n">
        <v>1</v>
      </c>
      <c r="E8" s="10" t="n">
        <v>1</v>
      </c>
      <c r="F8" s="8" t="inlineStr">
        <is>
          <t>年1回（決算時）</t>
        </is>
      </c>
    </row>
    <row r="9">
      <c r="A9" s="8" t="inlineStr">
        <is>
          <t>名刺</t>
        </is>
      </c>
      <c r="B9" s="9">
        <f>C9*D9*E9</f>
        <v/>
      </c>
      <c r="C9" s="9" t="n">
        <v>15000</v>
      </c>
      <c r="D9" s="10" t="n">
        <v>1</v>
      </c>
      <c r="E9" s="10" t="n">
        <v>2</v>
      </c>
      <c r="F9" s="8" t="inlineStr">
        <is>
          <t>年2回刷り直し想定</t>
        </is>
      </c>
    </row>
    <row r="10">
      <c r="A10" s="8" t="inlineStr">
        <is>
          <t>ガソリン代（事業分）</t>
        </is>
      </c>
      <c r="B10" s="9">
        <f>C10*D10*E10</f>
        <v/>
      </c>
      <c r="C10" s="9" t="n">
        <v>2000</v>
      </c>
      <c r="D10" s="10" t="n">
        <v>1</v>
      </c>
      <c r="E10" s="10" t="n">
        <v>12</v>
      </c>
      <c r="F10" s="8" t="inlineStr">
        <is>
          <t>近場移動・買い出し用</t>
        </is>
      </c>
    </row>
    <row r="11">
      <c r="A11" s="11" t="inlineStr">
        <is>
          <t>小計</t>
        </is>
      </c>
      <c r="B11" s="12">
        <f>SUM(B4:B10)</f>
        <v/>
      </c>
      <c r="C11" s="13" t="n"/>
      <c r="D11" s="13" t="n"/>
      <c r="E11" s="13" t="n"/>
      <c r="F11" s="13" t="n"/>
    </row>
    <row r="13">
      <c r="A13" s="14" t="inlineStr">
        <is>
          <t>月平均</t>
        </is>
      </c>
      <c r="B13" s="15">
        <f>B11/12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2026-04-15T14:21:28Z</dcterms:created>
  <dcterms:modified xmlns:dcterms="http://purl.org/dc/terms/" xmlns:xsi="http://www.w3.org/2001/XMLSchema-instance" xsi:type="dcterms:W3CDTF">2026-04-15T14:22:38Z</dcterms:modified>
</cp:coreProperties>
</file>